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COP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"/>
    <numFmt numFmtId="165" formatCode="$0"/>
    <numFmt numFmtId="166" formatCode="0.0"/>
    <numFmt numFmtId="167" formatCode="$#,##0"/>
    <numFmt numFmtId="168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0" fillId="2" borderId="1" pivotButton="0" quotePrefix="0" xfId="0"/>
    <xf numFmtId="1" fontId="0" fillId="2" borderId="1" pivotButton="0" quotePrefix="0" xfId="0"/>
    <xf numFmtId="0" fontId="2" fillId="0" borderId="0" pivotButton="0" quotePrefix="0" xfId="0"/>
    <xf numFmtId="164" fontId="0" fillId="2" borderId="1" pivotButton="0" quotePrefix="0" xfId="0"/>
    <xf numFmtId="166" fontId="0" fillId="2" borderId="1" pivotButton="0" quotePrefix="0" xfId="0"/>
    <xf numFmtId="9" fontId="0" fillId="2" borderId="1" pivotButton="0" quotePrefix="0" xfId="0"/>
    <xf numFmtId="167" fontId="2" fillId="0" borderId="0" pivotButton="0" quotePrefix="0" xfId="0"/>
    <xf numFmtId="9" fontId="2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5" fontId="0" fillId="2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B40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QUOTE CALCULATOR — Pressure Washing + Gutters</t>
        </is>
      </c>
    </row>
    <row r="2">
      <c r="A2" t="inlineStr">
        <is>
          <t>Fill the yellow cells. Everything else calculates itself.</t>
        </is>
      </c>
    </row>
    <row r="4">
      <c r="A4" t="inlineStr">
        <is>
          <t>Customer name</t>
        </is>
      </c>
      <c r="B4" s="2" t="inlineStr">
        <is>
          <t>Sample Customer</t>
        </is>
      </c>
    </row>
    <row r="5">
      <c r="A5" t="inlineStr">
        <is>
          <t>Driveway / concrete (sq ft)</t>
        </is>
      </c>
      <c r="B5" s="3" t="n">
        <v>600</v>
      </c>
    </row>
    <row r="6">
      <c r="A6" t="inlineStr">
        <is>
          <t>House siding (sq ft)</t>
        </is>
      </c>
      <c r="B6" s="3" t="n">
        <v>1800</v>
      </c>
    </row>
    <row r="7">
      <c r="A7" t="inlineStr">
        <is>
          <t>Roof soft wash (sq ft)</t>
        </is>
      </c>
      <c r="B7" s="3" t="n">
        <v>0</v>
      </c>
    </row>
    <row r="8">
      <c r="A8" t="inlineStr">
        <is>
          <t>Gutters (linear ft)</t>
        </is>
      </c>
      <c r="B8" s="3" t="n">
        <v>150</v>
      </c>
    </row>
    <row r="9">
      <c r="A9" t="inlineStr">
        <is>
          <t>Stories (1-3)</t>
        </is>
      </c>
      <c r="B9" s="3" t="n">
        <v>2</v>
      </c>
    </row>
    <row r="10">
      <c r="A10" t="inlineStr">
        <is>
          <t>Price level (LOW / MID / HIGH)</t>
        </is>
      </c>
      <c r="B10" s="2" t="inlineStr">
        <is>
          <t>MID</t>
        </is>
      </c>
    </row>
    <row r="11">
      <c r="A11" s="4" t="inlineStr">
        <is>
          <t>Your costs</t>
        </is>
      </c>
    </row>
    <row r="12">
      <c r="A12" t="inlineStr">
        <is>
          <t>Round-trip miles</t>
        </is>
      </c>
      <c r="B12" s="3" t="n">
        <v>15</v>
      </c>
    </row>
    <row r="13">
      <c r="A13" t="inlineStr">
        <is>
          <t>Vehicle cost per mile ($)</t>
        </is>
      </c>
      <c r="B13" s="5" t="n">
        <v>0.7</v>
      </c>
    </row>
    <row r="14">
      <c r="A14" t="inlineStr">
        <is>
          <t>Chemicals &amp; supplies ($)</t>
        </is>
      </c>
      <c r="B14" s="5" t="n">
        <v>45</v>
      </c>
    </row>
    <row r="15">
      <c r="A15" t="inlineStr">
        <is>
          <t>Crew hours (total, all people)</t>
        </is>
      </c>
      <c r="B15" s="6" t="n">
        <v>8</v>
      </c>
    </row>
    <row r="16">
      <c r="A16" t="inlineStr">
        <is>
          <t>Labor cost per hour ($)</t>
        </is>
      </c>
      <c r="B16" s="5" t="n">
        <v>40</v>
      </c>
    </row>
    <row r="17">
      <c r="A17" t="inlineStr">
        <is>
          <t>Target profit margin</t>
        </is>
      </c>
      <c r="B17" s="7" t="n">
        <v>0.4</v>
      </c>
    </row>
    <row r="20">
      <c r="A20" s="1" t="inlineStr">
        <is>
          <t>RESULT</t>
        </is>
      </c>
    </row>
    <row r="21">
      <c r="A21" t="inlineStr">
        <is>
          <t>Quote price</t>
        </is>
      </c>
      <c r="B21" s="8">
        <f>CALC!B15</f>
        <v/>
      </c>
    </row>
    <row r="22">
      <c r="A22" t="inlineStr">
        <is>
          <t>Your total cost</t>
        </is>
      </c>
      <c r="B22" s="8">
        <f>CALC!B21</f>
        <v/>
      </c>
    </row>
    <row r="23">
      <c r="A23" t="inlineStr">
        <is>
          <t>Profit</t>
        </is>
      </c>
      <c r="B23" s="8">
        <f>B21-B22</f>
        <v/>
      </c>
    </row>
    <row r="24">
      <c r="A24" t="inlineStr">
        <is>
          <t>Profit margin</t>
        </is>
      </c>
      <c r="B24" s="9">
        <f>IF(B21=0,0,B23/B21)</f>
        <v/>
      </c>
    </row>
    <row r="25">
      <c r="A25" t="inlineStr">
        <is>
          <t>Price needed for target margin</t>
        </is>
      </c>
      <c r="B25" s="8">
        <f>IF(B17&gt;=1,0,ROUNDUP(B22/(1-B17),-1))</f>
        <v/>
      </c>
    </row>
    <row r="27">
      <c r="A27" s="1" t="inlineStr">
        <is>
          <t>VERDICT</t>
        </is>
      </c>
      <c r="B27" s="1">
        <f>IF(B21=0,"Enter job sizes above",IF(B24&gt;=B17,"OK - take the job",IF(B24&gt;=B17-0.1,"LOW - quote "&amp;TEXT(B25,"$#,##0")&amp;" instead","REJECT - margin too thin, quote "&amp;TEXT(B25,"$#,##0")&amp;" or walk away")))</f>
        <v/>
      </c>
    </row>
    <row r="29">
      <c r="A29" t="inlineStr">
        <is>
          <t>Customer-ready quote text is on the COPY tab.</t>
        </is>
      </c>
    </row>
  </sheetData>
  <conditionalFormatting sqref="B27">
    <cfRule type="expression" priority="1" dxfId="0">
      <formula>LEFT($B$27,2)="OK"</formula>
    </cfRule>
    <cfRule type="expression" priority="2" dxfId="1">
      <formula>LEFT($B$27,3)="LOW"</formula>
    </cfRule>
    <cfRule type="expression" priority="3" dxfId="2">
      <formula>LEFT($B$27,3)="REJ"</formula>
    </cfRule>
  </conditionalFormatting>
  <dataValidations count="2">
    <dataValidation sqref="B10" showDropDown="0" showInputMessage="0" showErrorMessage="0" allowBlank="0" type="list">
      <formula1>"LOW,MID,HIGH"</formula1>
    </dataValidation>
    <dataValidation sqref="B9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9" customWidth="1" min="4" max="4"/>
    <col width="9" customWidth="1" min="5" max="5"/>
    <col width="9" customWidth="1" min="6" max="6"/>
    <col width="70" customWidth="1" min="7" max="7"/>
  </cols>
  <sheetData>
    <row r="1">
      <c r="A1" s="1" t="inlineStr">
        <is>
          <t>Rates — edit to match your local market</t>
        </is>
      </c>
    </row>
    <row r="3">
      <c r="A3" s="4" t="inlineStr">
        <is>
          <t>Key</t>
        </is>
      </c>
      <c r="B3" s="4" t="inlineStr">
        <is>
          <t>Service</t>
        </is>
      </c>
      <c r="C3" s="4" t="inlineStr">
        <is>
          <t>Unit</t>
        </is>
      </c>
      <c r="D3" s="4" t="inlineStr">
        <is>
          <t>LOW</t>
        </is>
      </c>
      <c r="E3" s="4" t="inlineStr">
        <is>
          <t>MID</t>
        </is>
      </c>
      <c r="F3" s="4" t="inlineStr">
        <is>
          <t>HIGH</t>
        </is>
      </c>
      <c r="G3" s="4" t="inlineStr">
        <is>
          <t>Source (2026)</t>
        </is>
      </c>
    </row>
    <row r="4">
      <c r="A4" t="inlineStr">
        <is>
          <t>driveway</t>
        </is>
      </c>
      <c r="B4" t="inlineStr">
        <is>
          <t>Driveway / concrete</t>
        </is>
      </c>
      <c r="C4" t="inlineStr">
        <is>
          <t>$ / sq ft</t>
        </is>
      </c>
      <c r="D4" s="10" t="n">
        <v>0.15</v>
      </c>
      <c r="E4" s="10" t="n">
        <v>0.25</v>
      </c>
      <c r="F4" s="10" t="n">
        <v>0.4</v>
      </c>
      <c r="G4" t="inlineStr">
        <is>
          <t>Housecall Pro 2026: concrete $0.10-0.40/sq ft; driveway jobs $100-300</t>
        </is>
      </c>
    </row>
    <row r="5">
      <c r="A5" t="inlineStr">
        <is>
          <t>house</t>
        </is>
      </c>
      <c r="B5" t="inlineStr">
        <is>
          <t>House wash (siding)</t>
        </is>
      </c>
      <c r="C5" t="inlineStr">
        <is>
          <t>$ / sq ft</t>
        </is>
      </c>
      <c r="D5" s="10" t="n">
        <v>0.2</v>
      </c>
      <c r="E5" s="10" t="n">
        <v>0.3</v>
      </c>
      <c r="F5" s="10" t="n">
        <v>0.45</v>
      </c>
      <c r="G5" t="inlineStr">
        <is>
          <t>2026 cost guides: siding $0.20-0.60/sq ft; Housecall Pro house wash $250-800</t>
        </is>
      </c>
    </row>
    <row r="6">
      <c r="A6" t="inlineStr">
        <is>
          <t>roof</t>
        </is>
      </c>
      <c r="B6" t="inlineStr">
        <is>
          <t>Roof soft wash</t>
        </is>
      </c>
      <c r="C6" t="inlineStr">
        <is>
          <t>$ / sq ft</t>
        </is>
      </c>
      <c r="D6" s="10" t="n">
        <v>0.25</v>
      </c>
      <c r="E6" s="10" t="n">
        <v>0.4</v>
      </c>
      <c r="F6" s="10" t="n">
        <v>0.9</v>
      </c>
      <c r="G6" t="inlineStr">
        <is>
          <t>2026 cost guides: roof soft wash $0.15-0.90/sq ft, avg ~$0.35</t>
        </is>
      </c>
    </row>
    <row r="7">
      <c r="A7" t="inlineStr">
        <is>
          <t>gutters</t>
        </is>
      </c>
      <c r="B7" t="inlineStr">
        <is>
          <t>Gutter cleaning (1 story)</t>
        </is>
      </c>
      <c r="C7" t="inlineStr">
        <is>
          <t>$ / linear ft</t>
        </is>
      </c>
      <c r="D7" s="10" t="n">
        <v>0.9</v>
      </c>
      <c r="E7" s="10" t="n">
        <v>1.2</v>
      </c>
      <c r="F7" s="10" t="n">
        <v>1.6</v>
      </c>
      <c r="G7" t="inlineStr">
        <is>
          <t>LeafFilter: $0.70-1.30/ft 1-story; Housecall Pro $0.80-2.00/ft</t>
        </is>
      </c>
    </row>
    <row r="10">
      <c r="A10" s="4" t="inlineStr">
        <is>
          <t>Height multiplier (house wash + gutters)</t>
        </is>
      </c>
    </row>
    <row r="11">
      <c r="A11" t="inlineStr">
        <is>
          <t>Stories</t>
        </is>
      </c>
      <c r="B11" t="inlineStr">
        <is>
          <t>Multiplier</t>
        </is>
      </c>
    </row>
    <row r="12">
      <c r="A12" t="n">
        <v>1</v>
      </c>
      <c r="B12" s="11" t="n">
        <v>1</v>
      </c>
      <c r="C12" t="inlineStr">
        <is>
          <t>LeafFilter 2026: 2-story gutters cost ~1.3-1.9x 1-story</t>
        </is>
      </c>
    </row>
    <row r="13">
      <c r="A13" t="n">
        <v>2</v>
      </c>
      <c r="B13" s="11" t="n">
        <v>1.35</v>
      </c>
    </row>
    <row r="14">
      <c r="A14" t="n">
        <v>3</v>
      </c>
      <c r="B14" s="11" t="n">
        <v>1.7</v>
      </c>
    </row>
    <row r="16">
      <c r="A16" t="inlineStr">
        <is>
          <t>Minimum job charge</t>
        </is>
      </c>
      <c r="B16" s="12" t="n">
        <v>150</v>
      </c>
      <c r="C16" t="inlineStr">
        <is>
          <t>Housecall Pro 2026: most jobs $150-500</t>
        </is>
      </c>
    </row>
    <row r="18">
      <c r="A18" t="inlineStr">
        <is>
          <t>Ranges are national averages. Replace them with what your area pays — the calculator uses whatever you type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BBBBB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Calculations (no need to edit)</t>
        </is>
      </c>
    </row>
    <row r="3">
      <c r="A3" t="inlineStr">
        <is>
          <t>Price column</t>
        </is>
      </c>
      <c r="B3">
        <f>MATCH(START!B10,RATES!D3:F3,0)</f>
        <v/>
      </c>
    </row>
    <row r="4">
      <c r="A4" t="inlineStr">
        <is>
          <t>Height multiplier</t>
        </is>
      </c>
      <c r="B4">
        <f>VLOOKUP(START!B9,RATES!A12:B14,2,FALSE)</f>
        <v/>
      </c>
    </row>
    <row r="6">
      <c r="A6" s="4" t="inlineStr">
        <is>
          <t>Line item</t>
        </is>
      </c>
      <c r="B6" s="4" t="inlineStr">
        <is>
          <t>Amount</t>
        </is>
      </c>
      <c r="C6" s="4" t="inlineStr">
        <is>
          <t>Rate</t>
        </is>
      </c>
      <c r="D6" s="4" t="inlineStr">
        <is>
          <t>Qty</t>
        </is>
      </c>
    </row>
    <row r="7">
      <c r="A7" t="inlineStr">
        <is>
          <t>Driveway / concrete</t>
        </is>
      </c>
      <c r="B7" s="13">
        <f>ROUND(C7*D7,2)</f>
        <v/>
      </c>
      <c r="C7" s="14">
        <f>INDEX(RATES!D4:F4,1,$B$3)</f>
        <v/>
      </c>
      <c r="D7">
        <f>START!B5</f>
        <v/>
      </c>
    </row>
    <row r="8">
      <c r="A8" t="inlineStr">
        <is>
          <t>House wash</t>
        </is>
      </c>
      <c r="B8" s="13">
        <f>ROUND(C8*D8*$B$4,2)</f>
        <v/>
      </c>
      <c r="C8" s="14">
        <f>INDEX(RATES!D5:F5,1,$B$3)</f>
        <v/>
      </c>
      <c r="D8">
        <f>START!B6</f>
        <v/>
      </c>
    </row>
    <row r="9">
      <c r="A9" t="inlineStr">
        <is>
          <t>Roof soft wash</t>
        </is>
      </c>
      <c r="B9" s="13">
        <f>ROUND(C9*D9,2)</f>
        <v/>
      </c>
      <c r="C9" s="14">
        <f>INDEX(RATES!D6:F6,1,$B$3)</f>
        <v/>
      </c>
      <c r="D9">
        <f>START!B7</f>
        <v/>
      </c>
    </row>
    <row r="10">
      <c r="A10" t="inlineStr">
        <is>
          <t>Gutter cleaning</t>
        </is>
      </c>
      <c r="B10" s="13">
        <f>ROUND(C10*D10*$B$4,2)</f>
        <v/>
      </c>
      <c r="C10" s="14">
        <f>INDEX(RATES!D7:F7,1,$B$3)</f>
        <v/>
      </c>
      <c r="D10">
        <f>START!B8</f>
        <v/>
      </c>
    </row>
    <row r="12">
      <c r="A12" t="inlineStr">
        <is>
          <t>Subtotal</t>
        </is>
      </c>
      <c r="B12" s="13">
        <f>SUM(B7:B10)</f>
        <v/>
      </c>
    </row>
    <row r="13">
      <c r="A13" t="inlineStr">
        <is>
          <t>Minimum job charge</t>
        </is>
      </c>
      <c r="B13" s="13">
        <f>RATES!B16</f>
        <v/>
      </c>
    </row>
    <row r="14">
      <c r="A14" t="inlineStr">
        <is>
          <t>Minimum applied?</t>
        </is>
      </c>
      <c r="B14">
        <f>IF(AND(B12&gt;0,B12&lt;B13),"YES","no")</f>
        <v/>
      </c>
    </row>
    <row r="15">
      <c r="A15" s="4" t="inlineStr">
        <is>
          <t>QUOTE PRICE</t>
        </is>
      </c>
      <c r="B15" s="15">
        <f>IF(B12=0,0,ROUND(MAX(B12,B13),0))</f>
        <v/>
      </c>
    </row>
    <row r="17">
      <c r="A17" t="inlineStr">
        <is>
          <t>Labor</t>
        </is>
      </c>
      <c r="B17" s="13">
        <f>START!B15*START!B16</f>
        <v/>
      </c>
    </row>
    <row r="18">
      <c r="A18" t="inlineStr">
        <is>
          <t>Travel</t>
        </is>
      </c>
      <c r="B18" s="13">
        <f>START!B12*START!B13</f>
        <v/>
      </c>
    </row>
    <row r="19">
      <c r="A19" t="inlineStr">
        <is>
          <t>Chemicals &amp; supplies</t>
        </is>
      </c>
      <c r="B19" s="13">
        <f>START!B14</f>
        <v/>
      </c>
    </row>
    <row r="21">
      <c r="A21" s="4" t="inlineStr">
        <is>
          <t>TOTAL COST</t>
        </is>
      </c>
      <c r="B21" s="15">
        <f>SUM(B17:B19)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Customer quote — copy into your text / email</t>
        </is>
      </c>
    </row>
    <row r="3">
      <c r="A3">
        <f>"Hi "&amp;START!B4&amp;","</f>
        <v/>
      </c>
    </row>
    <row r="4">
      <c r="A4">
        <f>"Thanks for reaching out. Here is your quote:"</f>
        <v/>
      </c>
    </row>
    <row r="5">
      <c r="A5">
        <f>IF(CALC!B7&gt;0,"- Driveway / concrete ("&amp;START!B5&amp;" sq ft): "&amp;TEXT(CALC!B7,"$#,##0"),"")</f>
        <v/>
      </c>
    </row>
    <row r="6">
      <c r="A6">
        <f>IF(CALC!B8&gt;0,"- House wash ("&amp;START!B6&amp;" sq ft, "&amp;START!B9&amp;"-story): "&amp;TEXT(CALC!B8,"$#,##0"),"")</f>
        <v/>
      </c>
    </row>
    <row r="7">
      <c r="A7">
        <f>IF(CALC!B9&gt;0,"- Roof soft wash ("&amp;START!B7&amp;" sq ft): "&amp;TEXT(CALC!B9,"$#,##0"),"")</f>
        <v/>
      </c>
    </row>
    <row r="8">
      <c r="A8">
        <f>IF(CALC!B10&gt;0,"- Gutter cleaning ("&amp;START!B8&amp;" ft): "&amp;TEXT(CALC!B10,"$#,##0"),"")</f>
        <v/>
      </c>
    </row>
    <row r="9">
      <c r="A9">
        <f>IF(CALC!B14="YES","- Minimum service charge applies","")</f>
        <v/>
      </c>
    </row>
    <row r="10">
      <c r="A10">
        <f>"TOTAL: "&amp;TEXT(CALC!B15,"$#,##0")</f>
        <v/>
      </c>
    </row>
    <row r="11">
      <c r="A11">
        <f>"This quote is valid for 30 days. Reply YES and I will send available dates."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2026-10-18T10:01:32Z</dcterms:created>
  <dcterms:modified xmlns:dcterms="http://purl.org/dc/terms/" xmlns:xsi="http://www.w3.org/2001/XMLSchema-instance" xsi:type="dcterms:W3CDTF">2026-10-18T10:01:32Z</dcterms:modified>
</cp:coreProperties>
</file>